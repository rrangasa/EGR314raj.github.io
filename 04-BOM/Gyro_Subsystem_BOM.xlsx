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grag\Documents\EGR314raj.github.io\docs\04-BOM\"/>
    </mc:Choice>
  </mc:AlternateContent>
  <xr:revisionPtr revIDLastSave="0" documentId="13_ncr:1_{D746F35C-82F5-4BCF-8D93-4E3C473952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1" l="1"/>
  <c r="F44" i="1"/>
  <c r="D44" i="1"/>
  <c r="P43" i="1"/>
  <c r="F43" i="1"/>
  <c r="D43" i="1"/>
  <c r="P42" i="1"/>
  <c r="F42" i="1"/>
  <c r="D42" i="1"/>
  <c r="P41" i="1"/>
  <c r="F41" i="1"/>
  <c r="D41" i="1"/>
  <c r="P40" i="1"/>
  <c r="F40" i="1"/>
  <c r="D40" i="1"/>
  <c r="P39" i="1"/>
  <c r="F39" i="1"/>
  <c r="D39" i="1"/>
  <c r="P38" i="1"/>
  <c r="F38" i="1"/>
  <c r="D38" i="1"/>
  <c r="P37" i="1"/>
  <c r="F37" i="1"/>
  <c r="D37" i="1"/>
  <c r="P36" i="1"/>
  <c r="F36" i="1"/>
  <c r="D36" i="1"/>
  <c r="P35" i="1"/>
  <c r="F35" i="1"/>
  <c r="D35" i="1"/>
  <c r="P34" i="1"/>
  <c r="F34" i="1"/>
  <c r="D34" i="1"/>
  <c r="P33" i="1"/>
  <c r="F33" i="1"/>
  <c r="D33" i="1"/>
  <c r="P32" i="1"/>
  <c r="F32" i="1"/>
  <c r="D32" i="1"/>
  <c r="P31" i="1"/>
  <c r="F31" i="1"/>
  <c r="D31" i="1"/>
  <c r="P30" i="1"/>
  <c r="F30" i="1"/>
  <c r="D30" i="1"/>
  <c r="P29" i="1"/>
  <c r="F29" i="1"/>
  <c r="D29" i="1"/>
  <c r="P28" i="1"/>
  <c r="F28" i="1"/>
  <c r="D28" i="1"/>
  <c r="P27" i="1"/>
  <c r="F27" i="1"/>
  <c r="D27" i="1"/>
  <c r="P26" i="1"/>
  <c r="F26" i="1"/>
  <c r="D26" i="1"/>
  <c r="P25" i="1"/>
  <c r="F25" i="1"/>
  <c r="D25" i="1"/>
  <c r="P24" i="1"/>
  <c r="F24" i="1"/>
  <c r="D24" i="1"/>
  <c r="P23" i="1"/>
  <c r="F23" i="1"/>
  <c r="D23" i="1"/>
  <c r="P22" i="1"/>
  <c r="F22" i="1"/>
  <c r="D22" i="1"/>
  <c r="P21" i="1"/>
  <c r="F21" i="1"/>
  <c r="D21" i="1"/>
  <c r="P20" i="1"/>
  <c r="F20" i="1"/>
  <c r="D20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4" i="1"/>
  <c r="F14" i="1"/>
  <c r="D14" i="1"/>
  <c r="P13" i="1"/>
  <c r="F13" i="1"/>
  <c r="D13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D6" i="1"/>
  <c r="P5" i="1"/>
  <c r="F5" i="1"/>
  <c r="D5" i="1"/>
  <c r="P4" i="1"/>
  <c r="F4" i="1"/>
  <c r="D4" i="1"/>
  <c r="P3" i="1"/>
  <c r="F3" i="1"/>
  <c r="D3" i="1"/>
</calcChain>
</file>

<file path=xl/sharedStrings.xml><?xml version="1.0" encoding="utf-8"?>
<sst xmlns="http://schemas.openxmlformats.org/spreadsheetml/2006/main" count="183" uniqueCount="151">
  <si>
    <t>Gyro Subsystem - Bill of Materials</t>
  </si>
  <si>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</si>
  <si>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</si>
  <si>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</si>
  <si>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</si>
  <si>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</si>
  <si>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</si>
  <si>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</si>
  <si>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</si>
  <si>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</si>
  <si>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</si>
  <si>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</si>
  <si>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</si>
  <si>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</si>
  <si>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</si>
  <si>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</si>
  <si>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</si>
  <si>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</si>
  <si>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ESP32-S3-WROOM-1-N4, WiFi+BLE MCU Module, 2.4GHz</t>
  </si>
  <si>
    <t>Espressif</t>
  </si>
  <si>
    <t>ESP32-S3-WROOM-1-N4</t>
  </si>
  <si>
    <t>https://www.digikey.com/en/products/detail/espressif-systems/ESP32-S3-WROOM-1-N4/16162639</t>
  </si>
  <si>
    <t>https://www.espressif.com/sites/default/files/documentation/esp32-s3-wroom-1_wroom-1u_datasheet_en.pdf</t>
  </si>
  <si>
    <t>Digikey</t>
  </si>
  <si>
    <t>1965-ESP32-S3-WROOM-1-N4-ND</t>
  </si>
  <si>
    <t>U1</t>
  </si>
  <si>
    <t>LM2575D2T-3.3R4G, 3.3V 1A Step-Down Switching Regulator, TO-263-5</t>
  </si>
  <si>
    <t>ON Semiconductor</t>
  </si>
  <si>
    <t>LM2575D2T-3.3R4G</t>
  </si>
  <si>
    <t>https://www.digikey.com/en/products/detail/onsemi/LM2575D2T-3-3R4G/919910</t>
  </si>
  <si>
    <t>http://ww1.microchip.com/downloads/en/DeviceDoc/lm2575.pdf</t>
  </si>
  <si>
    <t>LM2575D2T-3.3R4GOSCT-ND</t>
  </si>
  <si>
    <t>U4</t>
  </si>
  <si>
    <t>MCP9250-BREAKOUT-BOARD1</t>
  </si>
  <si>
    <t>1N5819 Schottky Barrier Rectifier Diode, 40V 1A, DO-41</t>
  </si>
  <si>
    <t>Vishay</t>
  </si>
  <si>
    <t>1N5819-E3/54</t>
  </si>
  <si>
    <t>https://www.digikey.com/en/products/detail/vishay-general-semiconductor-diodes-division/1N5819-E3-54/4897</t>
  </si>
  <si>
    <t>http://www.vishay.com/docs/88525/1n5817.pdf</t>
  </si>
  <si>
    <t>1N5819-E3/54GICT-ND</t>
  </si>
  <si>
    <t>D1</t>
  </si>
  <si>
    <t>Red LED, 0805 SMD</t>
  </si>
  <si>
    <t>Lite-On</t>
  </si>
  <si>
    <t>LTST-C171KRKT</t>
  </si>
  <si>
    <t>https://www.digikey.com/en/products/detail/lite-on-inc/LTST-C171KRKT/386800</t>
  </si>
  <si>
    <t>160-1427-1-ND</t>
  </si>
  <si>
    <t>D3, D5</t>
  </si>
  <si>
    <t>Blue LED, 0805 SMD</t>
  </si>
  <si>
    <t>LTST-C171TBKT</t>
  </si>
  <si>
    <t>https://www.digikey.com/en/products/detail/lite-on-inc/LTST-C171TBKT/573585</t>
  </si>
  <si>
    <t>160-1645-1-ND</t>
  </si>
  <si>
    <t>D2</t>
  </si>
  <si>
    <t>White LED, 0805 SMD</t>
  </si>
  <si>
    <t>LTST-C171CKT</t>
  </si>
  <si>
    <t>https://www.digikey.com/en/products/detail/lite-on-inc/LTST-C171CKT/269250</t>
  </si>
  <si>
    <t>160-1416-1-ND</t>
  </si>
  <si>
    <t>D4</t>
  </si>
  <si>
    <t>0.1uF Ceramic Capacitor, 25V, X7R, 0805</t>
  </si>
  <si>
    <t>Samsung</t>
  </si>
  <si>
    <t>CL21B104KBCNNNC</t>
  </si>
  <si>
    <t>https://www.digikey.com/en/products/detail/samsung-electro-mechanics/CL21B104KBCNNNC/3886661</t>
  </si>
  <si>
    <t>1276-1003-1-ND</t>
  </si>
  <si>
    <t>C2, C3, C4</t>
  </si>
  <si>
    <t>100uF Electrolytic Capacitor, 25V</t>
  </si>
  <si>
    <t>Panasonic</t>
  </si>
  <si>
    <t>EEE-1EA101XP</t>
  </si>
  <si>
    <t>https://www.digikey.com/en/products/detail/panasonic-electronic-components/EEE-1EA101XP/766102</t>
  </si>
  <si>
    <t>PCE3812CT-ND</t>
  </si>
  <si>
    <t>C5</t>
  </si>
  <si>
    <t>330uF Electrolytic Capacitor, 25V (nearest standard to 300uF)</t>
  </si>
  <si>
    <t>EEE-1EA331UP</t>
  </si>
  <si>
    <t>https://www.digikey.com/en/products/detail/panasonic-electronic-components/EEE-1EA331UP/7672625</t>
  </si>
  <si>
    <t>10-EEE-1EA331UPCT-ND</t>
  </si>
  <si>
    <t>C1, C6</t>
  </si>
  <si>
    <t>470 Ohm Resistor, 0805, 1/8W, 5%</t>
  </si>
  <si>
    <t>Yageo</t>
  </si>
  <si>
    <t>RC0805JR-07470RL</t>
  </si>
  <si>
    <t>https://www.digikey.com/en/products/detail/yageo/RC0805JR-07470RL/728304</t>
  </si>
  <si>
    <t>311-470ARCT-ND</t>
  </si>
  <si>
    <t>R2, R8, R9, R10, R11, R12</t>
  </si>
  <si>
    <t>22 Ohm Resistor, 0805, 1/8W, 5%</t>
  </si>
  <si>
    <t>RC0805JR-0722RL</t>
  </si>
  <si>
    <t>https://www.digikey.com/en/products/detail/yageo/RC0805JR-0722RL/728218</t>
  </si>
  <si>
    <t>311-22ARCT-ND</t>
  </si>
  <si>
    <t>R3, R4</t>
  </si>
  <si>
    <t>5.1k Ohm Resistor, 0805, 1/8W, 5%</t>
  </si>
  <si>
    <t>RC0805JR-075K1L</t>
  </si>
  <si>
    <t>https://www.digikey.com/en/products/detail/yageo/RC0805JR-075K1L/728286</t>
  </si>
  <si>
    <t>311-5.1KARCT-ND</t>
  </si>
  <si>
    <t>R6</t>
  </si>
  <si>
    <t>10k Ohm Resistor, 0805, 1/8W, 5%</t>
  </si>
  <si>
    <t>RC0805JR-0710KL</t>
  </si>
  <si>
    <t>https://www.digikey.com/en/products/detail/yageo/RC0805JR-0710KL/728241</t>
  </si>
  <si>
    <t>311-10KARCT-ND</t>
  </si>
  <si>
    <t>R7, R13, R14, R15</t>
  </si>
  <si>
    <t>200uH Inductor, 1A rated, Radial THT (for LM2575 buck converter)</t>
  </si>
  <si>
    <t>Bourns</t>
  </si>
  <si>
    <t>RLB0914-201KL</t>
  </si>
  <si>
    <t>https://www.digikey.com/en/products/detail/bourns-inc/RLB0914-201KL/1971023</t>
  </si>
  <si>
    <t>RLB0914-201KL-ND</t>
  </si>
  <si>
    <t>L2</t>
  </si>
  <si>
    <t>1A Fast-Blow Fuse, Axial</t>
  </si>
  <si>
    <t>Littelfuse</t>
  </si>
  <si>
    <t>0217001.MXP</t>
  </si>
  <si>
    <t>https://www.digikey.com/en/products/detail/littelfuse-inc/0217001-MXP/777752</t>
  </si>
  <si>
    <t>F2436-ND</t>
  </si>
  <si>
    <t>F1</t>
  </si>
  <si>
    <t>Fuse Holder, PCB Mount (for F1)</t>
  </si>
  <si>
    <t>01000056Z</t>
  </si>
  <si>
    <t>https://www.digikey.com/en/products/detail/littelfuse-inc/01000056Z/777109</t>
  </si>
  <si>
    <t>F2791-ND</t>
  </si>
  <si>
    <t>F1 (holder)</t>
  </si>
  <si>
    <t>USB Micro-B Connector, SMD, Right Angle</t>
  </si>
  <si>
    <t>Amphenol</t>
  </si>
  <si>
    <t>10118194-0001LF</t>
  </si>
  <si>
    <t>https://www.digikey.com/en/products/detail/amphenol-cs-fci/10118194-0001LF/2785389</t>
  </si>
  <si>
    <t>609-4618-1-ND</t>
  </si>
  <si>
    <t>J1</t>
  </si>
  <si>
    <t>DC Barrel Jack, 2.1mm Center Pin, with Switch, THT</t>
  </si>
  <si>
    <t>CUI Devices</t>
  </si>
  <si>
    <t>PJ-002A</t>
  </si>
  <si>
    <t>https://www.digikey.com/en/products/detail/cui-devices/PJ-002A/96962</t>
  </si>
  <si>
    <t>CP-002A-ND</t>
  </si>
  <si>
    <t>J3</t>
  </si>
  <si>
    <t>1x8 Male Pin Header, 2.54mm Pitch, THT</t>
  </si>
  <si>
    <t>Sullins</t>
  </si>
  <si>
    <t>PRPC008SAAN-RC</t>
  </si>
  <si>
    <t>https://www.digikey.com/en/products/detail/sullins-connector-solutions/PRPC008SAAN-RC/2775268</t>
  </si>
  <si>
    <t>S1012EC-08-ND</t>
  </si>
  <si>
    <t>J2, J4, J5</t>
  </si>
  <si>
    <t>Tactile Push Button Switch, 6mm, SPST, THT</t>
  </si>
  <si>
    <t>TE Connectivity</t>
  </si>
  <si>
    <t>1825910-6</t>
  </si>
  <si>
    <t>https://www.digikey.com/en/products/detail/te-connectivity-alcoswitch-switches/1825910-6/1632536</t>
  </si>
  <si>
    <t>450-1650-ND</t>
  </si>
  <si>
    <t>SW1, SW2</t>
  </si>
  <si>
    <t>2-Pin Jumper Header + Shunt Cap</t>
  </si>
  <si>
    <t>SPC02SYAN</t>
  </si>
  <si>
    <t>https://www.digikey.com/en/products/detail/sullins-connector-solutions/SPC02SYAN/76375</t>
  </si>
  <si>
    <t>S9001-ND</t>
  </si>
  <si>
    <t>JP1, JP3</t>
  </si>
  <si>
    <t>PCB Test Point, Loop Style, THT</t>
  </si>
  <si>
    <t>Keystone</t>
  </si>
  <si>
    <t>5000</t>
  </si>
  <si>
    <t>https://www.digikey.com/en/products/detail/keystone-electronics/5000/255326</t>
  </si>
  <si>
    <t>36-5000-ND</t>
  </si>
  <si>
    <t>TP1-TP33 (as populated)</t>
  </si>
  <si>
    <t>LSM9DS1 9-Axis IMU Breakout Board (Gyro/Accel/Mag)</t>
  </si>
  <si>
    <t>Audafruit</t>
  </si>
  <si>
    <t>1528-1900-ND</t>
  </si>
  <si>
    <t>https://www.digikey.com/en/products/detail/adafruit-industries-llc/3387/6623863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</si>
</sst>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0" fillId="0" borderId="0" xfId="0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adafruit-industries-llc/3387/6623863" TargetMode="External"/><Relationship Id="rId1" Type="http://schemas.openxmlformats.org/officeDocument/2006/relationships/hyperlink" Target="https://www.digikey.com/en/products/detail/adafruit-industries-llc/3387/6623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I35" sqref="I35"/>
    </sheetView>
  </sheetViews>
  <sheetFormatPr defaultRowHeight="14.5" x14ac:dyDescent="0.35"/>
  <cols>
    <col min="1" max="1" width="47.36328125" customWidth="1"/>
    <col min="2" max="2" width="11.08984375" customWidth="1"/>
    <col min="3" max="3" width="16.08984375" customWidth="1"/>
    <col min="4" max="4" width="16.90625" customWidth="1"/>
    <col min="5" max="5" width="17.08984375" customWidth="1"/>
    <col min="6" max="6" width="17.90625" customWidth="1"/>
    <col min="7" max="7" width="11.08984375" customWidth="1"/>
    <col min="8" max="8" width="16.08984375" customWidth="1"/>
    <col min="9" max="10" width="14" customWidth="1"/>
    <col min="11" max="11" width="9.26953125" customWidth="1"/>
    <col min="12" max="12" width="12.36328125" customWidth="1"/>
    <col min="13" max="13" width="8.453125" customWidth="1"/>
    <col min="14" max="14" width="11.08984375" customWidth="1"/>
    <col min="15" max="15" width="9.36328125" customWidth="1"/>
    <col min="16" max="16" width="6.90625" customWidth="1"/>
    <col min="17" max="17" width="33.36328125" customWidth="1"/>
  </cols>
  <sheetData>
    <row r="1" spans="1:17" ht="18.5" x14ac:dyDescent="0.4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5">
      <c r="A3" s="2" t="s">
        <v>18</v>
      </c>
      <c r="B3" s="2">
        <v>1</v>
      </c>
      <c r="C3" s="3">
        <v>3.3</v>
      </c>
      <c r="D3" s="3">
        <f t="shared" ref="D3:D44" si="0">B3*C3</f>
        <v>3.3</v>
      </c>
      <c r="E3" s="3">
        <v>2.8</v>
      </c>
      <c r="F3" s="3">
        <f t="shared" ref="F3:F44" si="1">B3*E3</f>
        <v>2.8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/>
      <c r="N3" s="2"/>
      <c r="O3" s="2"/>
      <c r="P3" s="2">
        <f t="shared" ref="P3:P44" si="2">O3-B3</f>
        <v>-1</v>
      </c>
      <c r="Q3" s="2" t="s">
        <v>25</v>
      </c>
    </row>
    <row r="4" spans="1:17" x14ac:dyDescent="0.35">
      <c r="A4" s="2" t="s">
        <v>26</v>
      </c>
      <c r="B4" s="2">
        <v>1</v>
      </c>
      <c r="C4" s="3">
        <v>2.7</v>
      </c>
      <c r="D4" s="3">
        <f t="shared" si="0"/>
        <v>2.7</v>
      </c>
      <c r="E4" s="3">
        <v>2.2000000000000002</v>
      </c>
      <c r="F4" s="3">
        <f t="shared" si="1"/>
        <v>2.2000000000000002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23</v>
      </c>
      <c r="L4" s="2" t="s">
        <v>31</v>
      </c>
      <c r="M4" s="2"/>
      <c r="N4" s="2"/>
      <c r="O4" s="2"/>
      <c r="P4" s="2">
        <f t="shared" si="2"/>
        <v>-1</v>
      </c>
      <c r="Q4" s="2" t="s">
        <v>32</v>
      </c>
    </row>
    <row r="5" spans="1:17" x14ac:dyDescent="0.35">
      <c r="A5" s="2" t="s">
        <v>147</v>
      </c>
      <c r="B5" s="2">
        <v>1</v>
      </c>
      <c r="C5" s="3">
        <v>22.5</v>
      </c>
      <c r="D5" s="3">
        <f t="shared" si="0"/>
        <v>22.5</v>
      </c>
      <c r="E5" s="3">
        <v>22.5</v>
      </c>
      <c r="F5" s="3">
        <f t="shared" si="1"/>
        <v>22.5</v>
      </c>
      <c r="G5" s="2" t="s">
        <v>148</v>
      </c>
      <c r="H5" s="2" t="s">
        <v>149</v>
      </c>
      <c r="I5" s="6" t="s">
        <v>150</v>
      </c>
      <c r="J5" s="6" t="s">
        <v>150</v>
      </c>
      <c r="K5" s="2" t="s">
        <v>23</v>
      </c>
      <c r="L5" s="2" t="s">
        <v>149</v>
      </c>
      <c r="M5" s="2"/>
      <c r="N5" s="2"/>
      <c r="O5" s="2"/>
      <c r="P5" s="2">
        <f t="shared" si="2"/>
        <v>-1</v>
      </c>
      <c r="Q5" s="2" t="s">
        <v>33</v>
      </c>
    </row>
    <row r="6" spans="1:17" x14ac:dyDescent="0.35">
      <c r="A6" s="2" t="s">
        <v>34</v>
      </c>
      <c r="B6" s="2">
        <v>1</v>
      </c>
      <c r="C6" s="3">
        <v>0.42</v>
      </c>
      <c r="D6" s="3">
        <f t="shared" si="0"/>
        <v>0.42</v>
      </c>
      <c r="E6" s="3">
        <v>0.3</v>
      </c>
      <c r="F6" s="3">
        <f t="shared" si="1"/>
        <v>0.3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23</v>
      </c>
      <c r="L6" s="2" t="s">
        <v>39</v>
      </c>
      <c r="M6" s="2"/>
      <c r="N6" s="2"/>
      <c r="O6" s="2"/>
      <c r="P6" s="2">
        <f t="shared" si="2"/>
        <v>-1</v>
      </c>
      <c r="Q6" s="2" t="s">
        <v>40</v>
      </c>
    </row>
    <row r="7" spans="1:17" x14ac:dyDescent="0.35">
      <c r="A7" s="2" t="s">
        <v>41</v>
      </c>
      <c r="B7" s="2">
        <v>2</v>
      </c>
      <c r="C7" s="3">
        <v>0.25</v>
      </c>
      <c r="D7" s="3">
        <f t="shared" si="0"/>
        <v>0.5</v>
      </c>
      <c r="E7" s="3">
        <v>0.15</v>
      </c>
      <c r="F7" s="3">
        <f t="shared" si="1"/>
        <v>0.3</v>
      </c>
      <c r="G7" s="2" t="s">
        <v>42</v>
      </c>
      <c r="H7" s="2" t="s">
        <v>43</v>
      </c>
      <c r="I7" s="2" t="s">
        <v>44</v>
      </c>
      <c r="J7" s="2"/>
      <c r="K7" s="2" t="s">
        <v>23</v>
      </c>
      <c r="L7" s="2" t="s">
        <v>45</v>
      </c>
      <c r="M7" s="2"/>
      <c r="N7" s="2"/>
      <c r="O7" s="2"/>
      <c r="P7" s="2">
        <f t="shared" si="2"/>
        <v>-2</v>
      </c>
      <c r="Q7" s="2" t="s">
        <v>46</v>
      </c>
    </row>
    <row r="8" spans="1:17" x14ac:dyDescent="0.35">
      <c r="A8" s="2" t="s">
        <v>47</v>
      </c>
      <c r="B8" s="2">
        <v>1</v>
      </c>
      <c r="C8" s="3">
        <v>0.3</v>
      </c>
      <c r="D8" s="3">
        <f t="shared" si="0"/>
        <v>0.3</v>
      </c>
      <c r="E8" s="3">
        <v>0.2</v>
      </c>
      <c r="F8" s="3">
        <f t="shared" si="1"/>
        <v>0.2</v>
      </c>
      <c r="G8" s="2" t="s">
        <v>42</v>
      </c>
      <c r="H8" s="2" t="s">
        <v>48</v>
      </c>
      <c r="I8" s="2" t="s">
        <v>49</v>
      </c>
      <c r="J8" s="2"/>
      <c r="K8" s="2" t="s">
        <v>23</v>
      </c>
      <c r="L8" s="2" t="s">
        <v>50</v>
      </c>
      <c r="M8" s="2"/>
      <c r="N8" s="2"/>
      <c r="O8" s="2"/>
      <c r="P8" s="2">
        <f t="shared" si="2"/>
        <v>-1</v>
      </c>
      <c r="Q8" s="2" t="s">
        <v>51</v>
      </c>
    </row>
    <row r="9" spans="1:17" x14ac:dyDescent="0.35">
      <c r="A9" s="2" t="s">
        <v>52</v>
      </c>
      <c r="B9" s="2">
        <v>1</v>
      </c>
      <c r="C9" s="3">
        <v>0.3</v>
      </c>
      <c r="D9" s="3">
        <f t="shared" si="0"/>
        <v>0.3</v>
      </c>
      <c r="E9" s="3">
        <v>0.2</v>
      </c>
      <c r="F9" s="3">
        <f t="shared" si="1"/>
        <v>0.2</v>
      </c>
      <c r="G9" s="2" t="s">
        <v>42</v>
      </c>
      <c r="H9" s="2" t="s">
        <v>53</v>
      </c>
      <c r="I9" s="2" t="s">
        <v>54</v>
      </c>
      <c r="J9" s="2"/>
      <c r="K9" s="2" t="s">
        <v>23</v>
      </c>
      <c r="L9" s="2" t="s">
        <v>55</v>
      </c>
      <c r="M9" s="2"/>
      <c r="N9" s="2"/>
      <c r="O9" s="2"/>
      <c r="P9" s="2">
        <f t="shared" si="2"/>
        <v>-1</v>
      </c>
      <c r="Q9" s="2" t="s">
        <v>56</v>
      </c>
    </row>
    <row r="10" spans="1:17" x14ac:dyDescent="0.35">
      <c r="A10" s="2" t="s">
        <v>57</v>
      </c>
      <c r="B10" s="2">
        <v>3</v>
      </c>
      <c r="C10" s="3">
        <v>0.1</v>
      </c>
      <c r="D10" s="3">
        <f t="shared" si="0"/>
        <v>0.30000000000000004</v>
      </c>
      <c r="E10" s="3">
        <v>0.08</v>
      </c>
      <c r="F10" s="3">
        <f t="shared" si="1"/>
        <v>0.24</v>
      </c>
      <c r="G10" s="2" t="s">
        <v>58</v>
      </c>
      <c r="H10" s="2" t="s">
        <v>59</v>
      </c>
      <c r="I10" s="2" t="s">
        <v>60</v>
      </c>
      <c r="J10" s="2"/>
      <c r="K10" s="2" t="s">
        <v>23</v>
      </c>
      <c r="L10" s="2" t="s">
        <v>61</v>
      </c>
      <c r="M10" s="2"/>
      <c r="N10" s="2"/>
      <c r="O10" s="2"/>
      <c r="P10" s="2">
        <f t="shared" si="2"/>
        <v>-3</v>
      </c>
      <c r="Q10" s="2" t="s">
        <v>62</v>
      </c>
    </row>
    <row r="11" spans="1:17" x14ac:dyDescent="0.35">
      <c r="A11" s="2" t="s">
        <v>63</v>
      </c>
      <c r="B11" s="2">
        <v>1</v>
      </c>
      <c r="C11" s="3">
        <v>0.45</v>
      </c>
      <c r="D11" s="3">
        <f t="shared" si="0"/>
        <v>0.45</v>
      </c>
      <c r="E11" s="3">
        <v>0.3</v>
      </c>
      <c r="F11" s="3">
        <f t="shared" si="1"/>
        <v>0.3</v>
      </c>
      <c r="G11" s="2" t="s">
        <v>64</v>
      </c>
      <c r="H11" s="2" t="s">
        <v>65</v>
      </c>
      <c r="I11" s="2" t="s">
        <v>66</v>
      </c>
      <c r="J11" s="2"/>
      <c r="K11" s="2" t="s">
        <v>23</v>
      </c>
      <c r="L11" s="2" t="s">
        <v>67</v>
      </c>
      <c r="M11" s="2"/>
      <c r="N11" s="2"/>
      <c r="O11" s="2"/>
      <c r="P11" s="2">
        <f t="shared" si="2"/>
        <v>-1</v>
      </c>
      <c r="Q11" s="2" t="s">
        <v>68</v>
      </c>
    </row>
    <row r="12" spans="1:17" x14ac:dyDescent="0.35">
      <c r="A12" s="2" t="s">
        <v>69</v>
      </c>
      <c r="B12" s="2">
        <v>2</v>
      </c>
      <c r="C12" s="3">
        <v>0.55000000000000004</v>
      </c>
      <c r="D12" s="3">
        <f t="shared" si="0"/>
        <v>1.1000000000000001</v>
      </c>
      <c r="E12" s="3">
        <v>0.4</v>
      </c>
      <c r="F12" s="3">
        <f t="shared" si="1"/>
        <v>0.8</v>
      </c>
      <c r="G12" s="2" t="s">
        <v>64</v>
      </c>
      <c r="H12" s="2" t="s">
        <v>70</v>
      </c>
      <c r="I12" s="2" t="s">
        <v>71</v>
      </c>
      <c r="J12" s="2"/>
      <c r="K12" s="2" t="s">
        <v>23</v>
      </c>
      <c r="L12" s="2" t="s">
        <v>72</v>
      </c>
      <c r="M12" s="2"/>
      <c r="N12" s="2"/>
      <c r="O12" s="2"/>
      <c r="P12" s="2">
        <f t="shared" si="2"/>
        <v>-2</v>
      </c>
      <c r="Q12" s="2" t="s">
        <v>73</v>
      </c>
    </row>
    <row r="13" spans="1:17" x14ac:dyDescent="0.35">
      <c r="A13" s="2" t="s">
        <v>74</v>
      </c>
      <c r="B13" s="2">
        <v>6</v>
      </c>
      <c r="C13" s="3">
        <v>0.1</v>
      </c>
      <c r="D13" s="3">
        <f t="shared" si="0"/>
        <v>0.60000000000000009</v>
      </c>
      <c r="E13" s="3">
        <v>0.01</v>
      </c>
      <c r="F13" s="3">
        <f t="shared" si="1"/>
        <v>0.06</v>
      </c>
      <c r="G13" s="2" t="s">
        <v>75</v>
      </c>
      <c r="H13" s="2" t="s">
        <v>76</v>
      </c>
      <c r="I13" s="2" t="s">
        <v>77</v>
      </c>
      <c r="J13" s="2"/>
      <c r="K13" s="2" t="s">
        <v>23</v>
      </c>
      <c r="L13" s="2" t="s">
        <v>78</v>
      </c>
      <c r="M13" s="2"/>
      <c r="N13" s="2"/>
      <c r="O13" s="2"/>
      <c r="P13" s="2">
        <f t="shared" si="2"/>
        <v>-6</v>
      </c>
      <c r="Q13" s="2" t="s">
        <v>79</v>
      </c>
    </row>
    <row r="14" spans="1:17" x14ac:dyDescent="0.35">
      <c r="A14" s="2" t="s">
        <v>80</v>
      </c>
      <c r="B14" s="2">
        <v>2</v>
      </c>
      <c r="C14" s="3">
        <v>0.1</v>
      </c>
      <c r="D14" s="3">
        <f t="shared" si="0"/>
        <v>0.2</v>
      </c>
      <c r="E14" s="3">
        <v>0.01</v>
      </c>
      <c r="F14" s="3">
        <f t="shared" si="1"/>
        <v>0.02</v>
      </c>
      <c r="G14" s="2" t="s">
        <v>75</v>
      </c>
      <c r="H14" s="2" t="s">
        <v>81</v>
      </c>
      <c r="I14" s="2" t="s">
        <v>82</v>
      </c>
      <c r="J14" s="2"/>
      <c r="K14" s="2" t="s">
        <v>23</v>
      </c>
      <c r="L14" s="2" t="s">
        <v>83</v>
      </c>
      <c r="M14" s="2"/>
      <c r="N14" s="2"/>
      <c r="O14" s="2"/>
      <c r="P14" s="2">
        <f t="shared" si="2"/>
        <v>-2</v>
      </c>
      <c r="Q14" s="2" t="s">
        <v>84</v>
      </c>
    </row>
    <row r="15" spans="1:17" x14ac:dyDescent="0.35">
      <c r="A15" s="2" t="s">
        <v>85</v>
      </c>
      <c r="B15" s="2">
        <v>1</v>
      </c>
      <c r="C15" s="3">
        <v>0.1</v>
      </c>
      <c r="D15" s="3">
        <f t="shared" si="0"/>
        <v>0.1</v>
      </c>
      <c r="E15" s="3">
        <v>0.01</v>
      </c>
      <c r="F15" s="3">
        <f t="shared" si="1"/>
        <v>0.01</v>
      </c>
      <c r="G15" s="2" t="s">
        <v>75</v>
      </c>
      <c r="H15" s="2" t="s">
        <v>86</v>
      </c>
      <c r="I15" s="2" t="s">
        <v>87</v>
      </c>
      <c r="J15" s="2"/>
      <c r="K15" s="2" t="s">
        <v>23</v>
      </c>
      <c r="L15" s="2" t="s">
        <v>88</v>
      </c>
      <c r="M15" s="2"/>
      <c r="N15" s="2"/>
      <c r="O15" s="2"/>
      <c r="P15" s="2">
        <f t="shared" si="2"/>
        <v>-1</v>
      </c>
      <c r="Q15" s="2" t="s">
        <v>89</v>
      </c>
    </row>
    <row r="16" spans="1:17" x14ac:dyDescent="0.35">
      <c r="A16" s="2" t="s">
        <v>90</v>
      </c>
      <c r="B16" s="2">
        <v>4</v>
      </c>
      <c r="C16" s="3">
        <v>0.1</v>
      </c>
      <c r="D16" s="3">
        <f t="shared" si="0"/>
        <v>0.4</v>
      </c>
      <c r="E16" s="3">
        <v>0.01</v>
      </c>
      <c r="F16" s="3">
        <f t="shared" si="1"/>
        <v>0.04</v>
      </c>
      <c r="G16" s="2" t="s">
        <v>75</v>
      </c>
      <c r="H16" s="2" t="s">
        <v>91</v>
      </c>
      <c r="I16" s="2" t="s">
        <v>92</v>
      </c>
      <c r="J16" s="2"/>
      <c r="K16" s="2" t="s">
        <v>23</v>
      </c>
      <c r="L16" s="2" t="s">
        <v>93</v>
      </c>
      <c r="M16" s="2"/>
      <c r="N16" s="2"/>
      <c r="O16" s="2"/>
      <c r="P16" s="2">
        <f t="shared" si="2"/>
        <v>-4</v>
      </c>
      <c r="Q16" s="2" t="s">
        <v>94</v>
      </c>
    </row>
    <row r="17" spans="1:17" x14ac:dyDescent="0.35">
      <c r="A17" s="2" t="s">
        <v>95</v>
      </c>
      <c r="B17" s="2">
        <v>1</v>
      </c>
      <c r="C17" s="3">
        <v>2</v>
      </c>
      <c r="D17" s="3">
        <f t="shared" si="0"/>
        <v>2</v>
      </c>
      <c r="E17" s="3">
        <v>1.5</v>
      </c>
      <c r="F17" s="3">
        <f t="shared" si="1"/>
        <v>1.5</v>
      </c>
      <c r="G17" s="2" t="s">
        <v>96</v>
      </c>
      <c r="H17" s="2" t="s">
        <v>97</v>
      </c>
      <c r="I17" s="2" t="s">
        <v>98</v>
      </c>
      <c r="J17" s="2"/>
      <c r="K17" s="2" t="s">
        <v>23</v>
      </c>
      <c r="L17" s="2" t="s">
        <v>99</v>
      </c>
      <c r="M17" s="2"/>
      <c r="N17" s="2"/>
      <c r="O17" s="2"/>
      <c r="P17" s="2">
        <f t="shared" si="2"/>
        <v>-1</v>
      </c>
      <c r="Q17" s="2" t="s">
        <v>100</v>
      </c>
    </row>
    <row r="18" spans="1:17" x14ac:dyDescent="0.35">
      <c r="A18" s="2" t="s">
        <v>101</v>
      </c>
      <c r="B18" s="2">
        <v>1</v>
      </c>
      <c r="C18" s="3">
        <v>0.5</v>
      </c>
      <c r="D18" s="3">
        <f t="shared" si="0"/>
        <v>0.5</v>
      </c>
      <c r="E18" s="3">
        <v>0.35</v>
      </c>
      <c r="F18" s="3">
        <f t="shared" si="1"/>
        <v>0.35</v>
      </c>
      <c r="G18" s="2" t="s">
        <v>102</v>
      </c>
      <c r="H18" s="2" t="s">
        <v>103</v>
      </c>
      <c r="I18" s="2" t="s">
        <v>104</v>
      </c>
      <c r="J18" s="2"/>
      <c r="K18" s="2" t="s">
        <v>23</v>
      </c>
      <c r="L18" s="2" t="s">
        <v>105</v>
      </c>
      <c r="M18" s="2"/>
      <c r="N18" s="2"/>
      <c r="O18" s="2"/>
      <c r="P18" s="2">
        <f t="shared" si="2"/>
        <v>-1</v>
      </c>
      <c r="Q18" s="2" t="s">
        <v>106</v>
      </c>
    </row>
    <row r="19" spans="1:17" x14ac:dyDescent="0.35">
      <c r="A19" s="2" t="s">
        <v>107</v>
      </c>
      <c r="B19" s="2">
        <v>1</v>
      </c>
      <c r="C19" s="3">
        <v>1</v>
      </c>
      <c r="D19" s="3">
        <f t="shared" si="0"/>
        <v>1</v>
      </c>
      <c r="E19" s="3">
        <v>0.7</v>
      </c>
      <c r="F19" s="3">
        <f t="shared" si="1"/>
        <v>0.7</v>
      </c>
      <c r="G19" s="2" t="s">
        <v>102</v>
      </c>
      <c r="H19" s="2" t="s">
        <v>108</v>
      </c>
      <c r="I19" s="2" t="s">
        <v>109</v>
      </c>
      <c r="J19" s="2"/>
      <c r="K19" s="2" t="s">
        <v>23</v>
      </c>
      <c r="L19" s="2" t="s">
        <v>110</v>
      </c>
      <c r="M19" s="2"/>
      <c r="N19" s="2"/>
      <c r="O19" s="2"/>
      <c r="P19" s="2">
        <f t="shared" si="2"/>
        <v>-1</v>
      </c>
      <c r="Q19" s="2" t="s">
        <v>111</v>
      </c>
    </row>
    <row r="20" spans="1:17" x14ac:dyDescent="0.35">
      <c r="A20" s="2" t="s">
        <v>112</v>
      </c>
      <c r="B20" s="2">
        <v>1</v>
      </c>
      <c r="C20" s="3">
        <v>1.2</v>
      </c>
      <c r="D20" s="3">
        <f t="shared" si="0"/>
        <v>1.2</v>
      </c>
      <c r="E20" s="3">
        <v>0.9</v>
      </c>
      <c r="F20" s="3">
        <f t="shared" si="1"/>
        <v>0.9</v>
      </c>
      <c r="G20" s="2" t="s">
        <v>113</v>
      </c>
      <c r="H20" s="2" t="s">
        <v>114</v>
      </c>
      <c r="I20" s="2" t="s">
        <v>115</v>
      </c>
      <c r="J20" s="2"/>
      <c r="K20" s="2" t="s">
        <v>23</v>
      </c>
      <c r="L20" s="2" t="s">
        <v>116</v>
      </c>
      <c r="M20" s="2"/>
      <c r="N20" s="2"/>
      <c r="O20" s="2"/>
      <c r="P20" s="2">
        <f t="shared" si="2"/>
        <v>-1</v>
      </c>
      <c r="Q20" s="2" t="s">
        <v>117</v>
      </c>
    </row>
    <row r="21" spans="1:17" x14ac:dyDescent="0.35">
      <c r="A21" s="2" t="s">
        <v>118</v>
      </c>
      <c r="B21" s="2">
        <v>1</v>
      </c>
      <c r="C21" s="3">
        <v>1.5</v>
      </c>
      <c r="D21" s="3">
        <f t="shared" si="0"/>
        <v>1.5</v>
      </c>
      <c r="E21" s="3">
        <v>1.1000000000000001</v>
      </c>
      <c r="F21" s="3">
        <f t="shared" si="1"/>
        <v>1.1000000000000001</v>
      </c>
      <c r="G21" s="2" t="s">
        <v>119</v>
      </c>
      <c r="H21" s="2" t="s">
        <v>120</v>
      </c>
      <c r="I21" s="2" t="s">
        <v>121</v>
      </c>
      <c r="J21" s="2"/>
      <c r="K21" s="2" t="s">
        <v>23</v>
      </c>
      <c r="L21" s="2" t="s">
        <v>122</v>
      </c>
      <c r="M21" s="2"/>
      <c r="N21" s="2"/>
      <c r="O21" s="2"/>
      <c r="P21" s="2">
        <f t="shared" si="2"/>
        <v>-1</v>
      </c>
      <c r="Q21" s="2" t="s">
        <v>123</v>
      </c>
    </row>
    <row r="22" spans="1:17" x14ac:dyDescent="0.35">
      <c r="A22" s="2" t="s">
        <v>124</v>
      </c>
      <c r="B22" s="2">
        <v>3</v>
      </c>
      <c r="C22" s="3">
        <v>0.6</v>
      </c>
      <c r="D22" s="3">
        <f t="shared" si="0"/>
        <v>1.7999999999999998</v>
      </c>
      <c r="E22" s="3">
        <v>0.4</v>
      </c>
      <c r="F22" s="3">
        <f t="shared" si="1"/>
        <v>1.2000000000000002</v>
      </c>
      <c r="G22" s="2" t="s">
        <v>125</v>
      </c>
      <c r="H22" s="2" t="s">
        <v>126</v>
      </c>
      <c r="I22" s="2" t="s">
        <v>127</v>
      </c>
      <c r="J22" s="2"/>
      <c r="K22" s="2" t="s">
        <v>23</v>
      </c>
      <c r="L22" s="2" t="s">
        <v>128</v>
      </c>
      <c r="M22" s="2"/>
      <c r="N22" s="2"/>
      <c r="O22" s="2"/>
      <c r="P22" s="2">
        <f t="shared" si="2"/>
        <v>-3</v>
      </c>
      <c r="Q22" s="2" t="s">
        <v>129</v>
      </c>
    </row>
    <row r="23" spans="1:17" x14ac:dyDescent="0.35">
      <c r="A23" s="2" t="s">
        <v>130</v>
      </c>
      <c r="B23" s="2">
        <v>2</v>
      </c>
      <c r="C23" s="3">
        <v>0.35</v>
      </c>
      <c r="D23" s="3">
        <f t="shared" si="0"/>
        <v>0.7</v>
      </c>
      <c r="E23" s="3">
        <v>0.2</v>
      </c>
      <c r="F23" s="3">
        <f t="shared" si="1"/>
        <v>0.4</v>
      </c>
      <c r="G23" s="2" t="s">
        <v>131</v>
      </c>
      <c r="H23" s="2" t="s">
        <v>132</v>
      </c>
      <c r="I23" s="2" t="s">
        <v>133</v>
      </c>
      <c r="J23" s="2"/>
      <c r="K23" s="2" t="s">
        <v>23</v>
      </c>
      <c r="L23" s="2" t="s">
        <v>134</v>
      </c>
      <c r="M23" s="2"/>
      <c r="N23" s="2"/>
      <c r="O23" s="2"/>
      <c r="P23" s="2">
        <f t="shared" si="2"/>
        <v>-2</v>
      </c>
      <c r="Q23" s="2" t="s">
        <v>135</v>
      </c>
    </row>
    <row r="24" spans="1:17" x14ac:dyDescent="0.35">
      <c r="A24" s="2" t="s">
        <v>136</v>
      </c>
      <c r="B24" s="2">
        <v>2</v>
      </c>
      <c r="C24" s="3">
        <v>0.3</v>
      </c>
      <c r="D24" s="3">
        <f t="shared" si="0"/>
        <v>0.6</v>
      </c>
      <c r="E24" s="3">
        <v>0.15</v>
      </c>
      <c r="F24" s="3">
        <f t="shared" si="1"/>
        <v>0.3</v>
      </c>
      <c r="G24" s="2" t="s">
        <v>125</v>
      </c>
      <c r="H24" s="2" t="s">
        <v>137</v>
      </c>
      <c r="I24" s="2" t="s">
        <v>138</v>
      </c>
      <c r="J24" s="2"/>
      <c r="K24" s="2" t="s">
        <v>23</v>
      </c>
      <c r="L24" s="2" t="s">
        <v>139</v>
      </c>
      <c r="M24" s="2"/>
      <c r="N24" s="2"/>
      <c r="O24" s="2"/>
      <c r="P24" s="2">
        <f t="shared" si="2"/>
        <v>-2</v>
      </c>
      <c r="Q24" s="2" t="s">
        <v>140</v>
      </c>
    </row>
    <row r="25" spans="1:17" x14ac:dyDescent="0.35">
      <c r="A25" s="2" t="s">
        <v>141</v>
      </c>
      <c r="B25" s="2">
        <v>20</v>
      </c>
      <c r="C25" s="3">
        <v>0.2</v>
      </c>
      <c r="D25" s="3">
        <f t="shared" si="0"/>
        <v>4</v>
      </c>
      <c r="E25" s="3">
        <v>0.12</v>
      </c>
      <c r="F25" s="3">
        <f t="shared" si="1"/>
        <v>2.4</v>
      </c>
      <c r="G25" s="2" t="s">
        <v>142</v>
      </c>
      <c r="H25" s="2" t="s">
        <v>143</v>
      </c>
      <c r="I25" s="2" t="s">
        <v>144</v>
      </c>
      <c r="J25" s="2"/>
      <c r="K25" s="2" t="s">
        <v>23</v>
      </c>
      <c r="L25" s="2" t="s">
        <v>145</v>
      </c>
      <c r="M25" s="2"/>
      <c r="N25" s="2"/>
      <c r="O25" s="2"/>
      <c r="P25" s="2">
        <f t="shared" si="2"/>
        <v>-20</v>
      </c>
      <c r="Q25" s="2" t="s">
        <v>146</v>
      </c>
    </row>
    <row r="26" spans="1:17" x14ac:dyDescent="0.35">
      <c r="D26">
        <f t="shared" si="0"/>
        <v>0</v>
      </c>
      <c r="F26">
        <f t="shared" si="1"/>
        <v>0</v>
      </c>
      <c r="P26">
        <f t="shared" si="2"/>
        <v>0</v>
      </c>
    </row>
    <row r="27" spans="1:17" x14ac:dyDescent="0.35">
      <c r="D27">
        <f t="shared" si="0"/>
        <v>0</v>
      </c>
      <c r="F27">
        <f t="shared" si="1"/>
        <v>0</v>
      </c>
      <c r="P27">
        <f t="shared" si="2"/>
        <v>0</v>
      </c>
    </row>
    <row r="28" spans="1:17" x14ac:dyDescent="0.35">
      <c r="D28">
        <f t="shared" si="0"/>
        <v>0</v>
      </c>
      <c r="F28">
        <f t="shared" si="1"/>
        <v>0</v>
      </c>
      <c r="P28">
        <f t="shared" si="2"/>
        <v>0</v>
      </c>
    </row>
    <row r="29" spans="1:17" x14ac:dyDescent="0.35">
      <c r="D29">
        <f t="shared" si="0"/>
        <v>0</v>
      </c>
      <c r="F29">
        <f t="shared" si="1"/>
        <v>0</v>
      </c>
      <c r="P29">
        <f t="shared" si="2"/>
        <v>0</v>
      </c>
    </row>
    <row r="30" spans="1:17" x14ac:dyDescent="0.35">
      <c r="D30">
        <f t="shared" si="0"/>
        <v>0</v>
      </c>
      <c r="F30">
        <f t="shared" si="1"/>
        <v>0</v>
      </c>
      <c r="P30">
        <f t="shared" si="2"/>
        <v>0</v>
      </c>
    </row>
    <row r="31" spans="1:17" x14ac:dyDescent="0.35">
      <c r="D31">
        <f t="shared" si="0"/>
        <v>0</v>
      </c>
      <c r="F31">
        <f t="shared" si="1"/>
        <v>0</v>
      </c>
      <c r="P31">
        <f t="shared" si="2"/>
        <v>0</v>
      </c>
    </row>
    <row r="32" spans="1:17" x14ac:dyDescent="0.35">
      <c r="D32">
        <f t="shared" si="0"/>
        <v>0</v>
      </c>
      <c r="F32">
        <f t="shared" si="1"/>
        <v>0</v>
      </c>
      <c r="P32">
        <f t="shared" si="2"/>
        <v>0</v>
      </c>
    </row>
    <row r="33" spans="4:16" x14ac:dyDescent="0.35">
      <c r="D33">
        <f t="shared" si="0"/>
        <v>0</v>
      </c>
      <c r="F33">
        <f t="shared" si="1"/>
        <v>0</v>
      </c>
      <c r="P33">
        <f t="shared" si="2"/>
        <v>0</v>
      </c>
    </row>
    <row r="34" spans="4:16" x14ac:dyDescent="0.35">
      <c r="D34">
        <f t="shared" si="0"/>
        <v>0</v>
      </c>
      <c r="F34">
        <f t="shared" si="1"/>
        <v>0</v>
      </c>
      <c r="P34">
        <f t="shared" si="2"/>
        <v>0</v>
      </c>
    </row>
    <row r="35" spans="4:16" x14ac:dyDescent="0.35">
      <c r="D35">
        <f t="shared" si="0"/>
        <v>0</v>
      </c>
      <c r="F35">
        <f t="shared" si="1"/>
        <v>0</v>
      </c>
      <c r="P35">
        <f t="shared" si="2"/>
        <v>0</v>
      </c>
    </row>
    <row r="36" spans="4:16" x14ac:dyDescent="0.35">
      <c r="D36">
        <f t="shared" si="0"/>
        <v>0</v>
      </c>
      <c r="F36">
        <f t="shared" si="1"/>
        <v>0</v>
      </c>
      <c r="P36">
        <f t="shared" si="2"/>
        <v>0</v>
      </c>
    </row>
    <row r="37" spans="4:16" x14ac:dyDescent="0.35">
      <c r="D37">
        <f t="shared" si="0"/>
        <v>0</v>
      </c>
      <c r="F37">
        <f t="shared" si="1"/>
        <v>0</v>
      </c>
      <c r="P37">
        <f t="shared" si="2"/>
        <v>0</v>
      </c>
    </row>
    <row r="38" spans="4:16" x14ac:dyDescent="0.35">
      <c r="D38">
        <f t="shared" si="0"/>
        <v>0</v>
      </c>
      <c r="F38">
        <f t="shared" si="1"/>
        <v>0</v>
      </c>
      <c r="P38">
        <f t="shared" si="2"/>
        <v>0</v>
      </c>
    </row>
    <row r="39" spans="4:16" x14ac:dyDescent="0.35">
      <c r="D39">
        <f t="shared" si="0"/>
        <v>0</v>
      </c>
      <c r="F39">
        <f t="shared" si="1"/>
        <v>0</v>
      </c>
      <c r="P39">
        <f t="shared" si="2"/>
        <v>0</v>
      </c>
    </row>
    <row r="40" spans="4:16" x14ac:dyDescent="0.35">
      <c r="D40">
        <f t="shared" si="0"/>
        <v>0</v>
      </c>
      <c r="F40">
        <f t="shared" si="1"/>
        <v>0</v>
      </c>
      <c r="P40">
        <f t="shared" si="2"/>
        <v>0</v>
      </c>
    </row>
    <row r="41" spans="4:16" x14ac:dyDescent="0.35">
      <c r="D41">
        <f t="shared" si="0"/>
        <v>0</v>
      </c>
      <c r="F41">
        <f t="shared" si="1"/>
        <v>0</v>
      </c>
      <c r="P41">
        <f t="shared" si="2"/>
        <v>0</v>
      </c>
    </row>
    <row r="42" spans="4:16" x14ac:dyDescent="0.35">
      <c r="D42">
        <f t="shared" si="0"/>
        <v>0</v>
      </c>
      <c r="F42">
        <f t="shared" si="1"/>
        <v>0</v>
      </c>
      <c r="P42">
        <f t="shared" si="2"/>
        <v>0</v>
      </c>
    </row>
    <row r="43" spans="4:16" x14ac:dyDescent="0.35">
      <c r="D43">
        <f t="shared" si="0"/>
        <v>0</v>
      </c>
      <c r="F43">
        <f t="shared" si="1"/>
        <v>0</v>
      </c>
      <c r="P43">
        <f t="shared" si="2"/>
        <v>0</v>
      </c>
    </row>
    <row r="44" spans="4:16" x14ac:dyDescent="0.35">
      <c r="D44">
        <f t="shared" si="0"/>
        <v>0</v>
      </c>
      <c r="F44">
        <f t="shared" si="1"/>
        <v>0</v>
      </c>
      <c r="P44">
        <f t="shared" si="2"/>
        <v>0</v>
      </c>
    </row>
  </sheetData>
  <mergeCells count="1">
    <mergeCell ref="A1:Q1"/>
  </mergeCells>
  <hyperlinks>
    <hyperlink ref="I5" r:id="rId1" xr:uid="{D2D254FF-9EED-4110-85D6-A375ADBB5753}"/>
    <hyperlink ref="J5" r:id="rId2" xr:uid="{9A7EAE44-DCBD-4788-8A8E-FAD89FC25B6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Ragul Raj RG Rangasamuthiram Gnanasundara V (Student)</cp:lastModifiedBy>
  <dcterms:created xsi:type="dcterms:W3CDTF">2026-03-07T11:16:52Z</dcterms:created>
  <dcterms:modified xsi:type="dcterms:W3CDTF">2026-03-07T12:17:57Z</dcterms:modified>
</cp:coreProperties>
</file>